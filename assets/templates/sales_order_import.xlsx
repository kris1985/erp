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23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2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3" borderId="10" applyAlignment="1">
      <alignment vertical="center"/>
    </xf>
    <xf numFmtId="0" fontId="15" fillId="4" borderId="11" applyAlignment="1">
      <alignment vertical="center"/>
    </xf>
    <xf numFmtId="0" fontId="16" fillId="4" borderId="10" applyAlignment="1">
      <alignment vertical="center"/>
    </xf>
    <xf numFmtId="0" fontId="17" fillId="5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A1" sqref="A1:S15"/>
    </sheetView>
  </sheetViews>
  <sheetFormatPr baseColWidth="8" defaultColWidth="9.23076923076923" defaultRowHeight="16.8"/>
  <sheetData>
    <row r="1" ht="31.6" customHeight="1" s="19">
      <c r="A1" s="1" t="inlineStr">
        <is>
          <t>红丫丫鞋业订单明细</t>
        </is>
      </c>
      <c r="S1" s="3" t="n"/>
    </row>
    <row r="2" ht="17.6" customHeight="1" s="19">
      <c r="A2" s="3" t="inlineStr">
        <is>
          <t>写字楼：广州市站西路26号环球国际商贸中心三期922档     电话：020-86516617</t>
        </is>
      </c>
      <c r="S2" s="3" t="n"/>
    </row>
    <row r="3" ht="17.6" customHeight="1" s="19">
      <c r="A3" s="5" t="inlineStr">
        <is>
          <t>TO:  俊峰 工厂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inlineStr">
        <is>
          <t>下单时间：2021年 7 月 21 日</t>
        </is>
      </c>
      <c r="M3" s="5" t="n"/>
      <c r="N3" s="5" t="n"/>
      <c r="O3" s="6" t="n"/>
      <c r="P3" s="3" t="n"/>
      <c r="Q3" s="5" t="n"/>
      <c r="R3" s="5" t="n"/>
      <c r="S3" s="3" t="n"/>
    </row>
    <row r="4" ht="17.6" customHeight="1" s="19">
      <c r="A4" s="5" t="inlineStr">
        <is>
          <t>订单号：0000725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inlineStr">
        <is>
          <t>出货时间：2021年 8 月 23 日</t>
        </is>
      </c>
      <c r="M4" s="5" t="n"/>
      <c r="N4" s="5" t="n"/>
      <c r="O4" s="6" t="n"/>
      <c r="P4" s="3" t="n"/>
      <c r="Q4" s="5" t="n"/>
      <c r="R4" s="5" t="n"/>
      <c r="S4" s="3" t="n"/>
    </row>
    <row r="5" ht="41" customHeight="1" s="19">
      <c r="A5" s="7" t="inlineStr">
        <is>
          <t>工厂型号</t>
        </is>
      </c>
      <c r="B5" s="7" t="inlineStr">
        <is>
          <t>品牌</t>
        </is>
      </c>
      <c r="C5" s="8" t="inlineStr">
        <is>
          <t>客人型号</t>
        </is>
      </c>
      <c r="D5" s="7" t="inlineStr">
        <is>
          <t>图片</t>
        </is>
      </c>
      <c r="E5" s="7" t="inlineStr">
        <is>
          <t>颜色</t>
        </is>
      </c>
      <c r="F5" s="7" t="inlineStr">
        <is>
          <t>面料</t>
        </is>
      </c>
      <c r="G5" s="8" t="inlineStr">
        <is>
          <t>内里/垫脚</t>
        </is>
      </c>
      <c r="H5" s="7" t="n">
        <v>34</v>
      </c>
      <c r="I5" s="7" t="n">
        <v>35</v>
      </c>
      <c r="J5" s="7" t="n">
        <v>36</v>
      </c>
      <c r="K5" s="7" t="n">
        <v>37</v>
      </c>
      <c r="L5" s="7" t="n">
        <v>38</v>
      </c>
      <c r="M5" s="7" t="n">
        <v>39</v>
      </c>
      <c r="N5" s="7" t="n">
        <v>40</v>
      </c>
      <c r="O5" s="8" t="inlineStr">
        <is>
          <t>件数</t>
        </is>
      </c>
      <c r="P5" s="7" t="inlineStr">
        <is>
          <t>总数</t>
        </is>
      </c>
      <c r="Q5" s="7" t="inlineStr">
        <is>
          <t>单价</t>
        </is>
      </c>
      <c r="R5" s="7" t="inlineStr">
        <is>
          <t>金额</t>
        </is>
      </c>
      <c r="S5" s="9" t="inlineStr">
        <is>
          <t>备注</t>
        </is>
      </c>
    </row>
    <row r="6">
      <c r="A6" s="10" t="inlineStr">
        <is>
          <t>21L533-25</t>
        </is>
      </c>
      <c r="B6" s="10" t="inlineStr">
        <is>
          <t>履之上</t>
        </is>
      </c>
      <c r="C6" s="10" t="inlineStr">
        <is>
          <t>21B106</t>
        </is>
      </c>
      <c r="D6" s="10" t="n"/>
      <c r="E6" s="10" t="inlineStr">
        <is>
          <t>克色</t>
        </is>
      </c>
      <c r="F6" s="10" t="inlineStr">
        <is>
          <t>开边珠</t>
        </is>
      </c>
      <c r="G6" s="10" t="inlineStr">
        <is>
          <t>猪皮</t>
        </is>
      </c>
      <c r="H6" s="10" t="n"/>
      <c r="I6" s="10" t="n">
        <v>2</v>
      </c>
      <c r="J6" s="10" t="n">
        <v>5</v>
      </c>
      <c r="K6" s="10" t="n">
        <v>4</v>
      </c>
      <c r="L6" s="10" t="n">
        <v>3</v>
      </c>
      <c r="M6" s="10" t="n">
        <v>1</v>
      </c>
      <c r="N6" s="10" t="n"/>
      <c r="O6" s="10" t="n"/>
      <c r="P6" s="10">
        <f>SUM(H6:O6)</f>
        <v/>
      </c>
      <c r="Q6" s="10" t="n"/>
      <c r="R6" s="10" t="n"/>
      <c r="S6" s="10" t="n"/>
    </row>
    <row r="7">
      <c r="A7" s="20" t="n"/>
      <c r="B7" s="20" t="n"/>
      <c r="C7" s="20" t="n"/>
      <c r="D7" s="20" t="n"/>
      <c r="E7" s="10" t="inlineStr">
        <is>
          <t>绿色</t>
        </is>
      </c>
      <c r="F7" s="10" t="inlineStr">
        <is>
          <t>开边珠</t>
        </is>
      </c>
      <c r="G7" s="10" t="inlineStr">
        <is>
          <t>猪皮</t>
        </is>
      </c>
      <c r="H7" s="10" t="n"/>
      <c r="I7" s="10" t="n">
        <v>2</v>
      </c>
      <c r="J7" s="10" t="n">
        <v>3</v>
      </c>
      <c r="K7" s="10" t="n">
        <v>3</v>
      </c>
      <c r="L7" s="10" t="n">
        <v>3</v>
      </c>
      <c r="M7" s="10" t="n">
        <v>1</v>
      </c>
      <c r="N7" s="10" t="n"/>
      <c r="O7" s="10" t="n"/>
      <c r="P7" s="10">
        <f>SUM(H7:O7)</f>
        <v/>
      </c>
      <c r="Q7" s="10" t="n"/>
      <c r="R7" s="10" t="n"/>
      <c r="S7" s="10" t="n"/>
    </row>
    <row r="8">
      <c r="A8" s="11" t="inlineStr">
        <is>
          <t>21L527-20</t>
        </is>
      </c>
      <c r="B8" s="10" t="inlineStr">
        <is>
          <t>履之上</t>
        </is>
      </c>
      <c r="C8" s="10" t="inlineStr">
        <is>
          <t>21B110</t>
        </is>
      </c>
      <c r="D8" s="10" t="n"/>
      <c r="E8" s="10" t="inlineStr">
        <is>
          <t>克色</t>
        </is>
      </c>
      <c r="F8" s="10" t="inlineStr">
        <is>
          <t>漆皮/白牛皮</t>
        </is>
      </c>
      <c r="G8" s="10" t="inlineStr">
        <is>
          <t>猪皮</t>
        </is>
      </c>
      <c r="H8" s="10" t="n"/>
      <c r="I8" s="10" t="n">
        <v>2</v>
      </c>
      <c r="J8" s="10" t="n">
        <v>3</v>
      </c>
      <c r="K8" s="10" t="n">
        <v>3</v>
      </c>
      <c r="L8" s="10" t="n">
        <v>3</v>
      </c>
      <c r="M8" s="10" t="n">
        <v>1</v>
      </c>
      <c r="N8" s="10" t="n"/>
      <c r="O8" s="10" t="n"/>
      <c r="P8" s="10">
        <f>SUM(H8:O8)</f>
        <v/>
      </c>
      <c r="Q8" s="10" t="n"/>
      <c r="R8" s="10" t="n"/>
      <c r="S8" s="21" t="inlineStr">
        <is>
          <t>后拉链用白色漆皮那个做法（接皮料）</t>
        </is>
      </c>
    </row>
    <row r="9">
      <c r="A9" s="20" t="n"/>
      <c r="B9" s="20" t="n"/>
      <c r="C9" s="20" t="n"/>
      <c r="D9" s="20" t="n"/>
      <c r="E9" s="10" t="inlineStr">
        <is>
          <t>白色</t>
        </is>
      </c>
      <c r="F9" s="10" t="inlineStr">
        <is>
          <t>漆皮/克牛皮</t>
        </is>
      </c>
      <c r="G9" s="10" t="inlineStr">
        <is>
          <t>猪皮</t>
        </is>
      </c>
      <c r="H9" s="10" t="n"/>
      <c r="I9" s="10" t="n">
        <v>2</v>
      </c>
      <c r="J9" s="10" t="n">
        <v>3</v>
      </c>
      <c r="K9" s="10" t="n">
        <v>3</v>
      </c>
      <c r="L9" s="10" t="n">
        <v>3</v>
      </c>
      <c r="M9" s="10" t="n">
        <v>1</v>
      </c>
      <c r="N9" s="10" t="n"/>
      <c r="O9" s="10" t="n"/>
      <c r="P9" s="10">
        <f>SUM(H9:O9)</f>
        <v/>
      </c>
      <c r="Q9" s="10" t="n"/>
      <c r="R9" s="10" t="n"/>
      <c r="S9" s="20" t="n"/>
    </row>
    <row r="10" ht="20.4" customHeight="1" s="19">
      <c r="A10" s="14" t="inlineStr">
        <is>
          <t>合计：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6">
        <f>SUM(P6:P9)</f>
        <v/>
      </c>
      <c r="Q10" s="15" t="n"/>
      <c r="R10" s="15" t="n"/>
      <c r="S10" s="17" t="n"/>
    </row>
    <row r="11" ht="20.4" customHeight="1" s="19">
      <c r="A11" s="18" t="inlineStr">
        <is>
          <t>做货要求：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</row>
    <row r="12" ht="20.4" customHeight="1" s="19">
      <c r="A12" s="18" t="n"/>
      <c r="B12" s="18" t="inlineStr">
        <is>
          <t>1.LOGO高周波烫金色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</row>
    <row r="13" ht="20.4" customHeight="1" s="19">
      <c r="A13" s="18" t="n"/>
      <c r="B13" s="18" t="inlineStr">
        <is>
          <t>2.没有条码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</row>
    <row r="14" ht="20.4" customHeight="1" s="19">
      <c r="A14" s="18" t="n"/>
      <c r="B14" s="18" t="inlineStr">
        <is>
          <t>3.品牌包装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</row>
    <row r="15" ht="20.4" customHeight="1" s="19">
      <c r="A15" s="18" t="n"/>
      <c r="B15" s="18" t="inlineStr">
        <is>
          <t>4.后包鉓扣有要求，一定要注意备注要求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</row>
  </sheetData>
  <mergeCells count="11">
    <mergeCell ref="A8:A9"/>
    <mergeCell ref="C8:C9"/>
    <mergeCell ref="A2:R2"/>
    <mergeCell ref="D8:D9"/>
    <mergeCell ref="B8:B9"/>
    <mergeCell ref="S8:S9"/>
    <mergeCell ref="A1:R1"/>
    <mergeCell ref="C6:C7"/>
    <mergeCell ref="A6:A7"/>
    <mergeCell ref="D6:D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</dc:creator>
  <dcterms:created xsi:type="dcterms:W3CDTF">2026-08-10T18:14:41Z</dcterms:created>
  <dcterms:modified xsi:type="dcterms:W3CDTF">2026-08-10T10:22:01Z</dcterms:modified>
  <cp:lastModifiedBy>kris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EEAF05F13956D9BD91A4796A07B19006_41</vt:lpwstr>
  </property>
  <property name="KSOProductBuildVer" fmtid="{D5CDD505-2E9C-101B-9397-08002B2CF9AE}" pid="3">
    <vt:lpwstr>2052-12.1.26055.26055</vt:lpwstr>
  </property>
  <property name="CalculationRule" fmtid="{D5CDD505-2E9C-101B-9397-08002B2CF9AE}" pid="4">
    <vt:i4>1</vt:i4>
  </property>
</Properties>
</file>